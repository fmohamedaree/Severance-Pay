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R:\SUN Only\1_Visa &amp; Work Permit\1_BOI\EOS Global Expansion\2. Rob Godwin\"/>
    </mc:Choice>
  </mc:AlternateContent>
  <xr:revisionPtr revIDLastSave="0" documentId="8_{A06D209C-4928-4EDF-9FF3-C03AE03471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E4" i="1"/>
  <c r="J3" i="1"/>
  <c r="G4" i="1" s="1"/>
  <c r="H4" i="1" l="1"/>
</calcChain>
</file>

<file path=xl/sharedStrings.xml><?xml version="1.0" encoding="utf-8"?>
<sst xmlns="http://schemas.openxmlformats.org/spreadsheetml/2006/main" count="16" uniqueCount="16">
  <si>
    <t>Name_Eng</t>
  </si>
  <si>
    <t>Last Working Day</t>
  </si>
  <si>
    <t xml:space="preserve">Severance Pay </t>
  </si>
  <si>
    <t xml:space="preserve"> Total</t>
  </si>
  <si>
    <t>Duration</t>
  </si>
  <si>
    <t>Started Date with RJ-SS</t>
  </si>
  <si>
    <t>One month pension allowance</t>
  </si>
  <si>
    <t>Pension allowance 3 months</t>
  </si>
  <si>
    <t>Total (THB)</t>
  </si>
  <si>
    <t>Salary (THB)</t>
  </si>
  <si>
    <t>Mr. Robert Gadwin</t>
  </si>
  <si>
    <t>Severance Pay on 30 September 2026: Robert Gadwin</t>
  </si>
  <si>
    <t>Company</t>
  </si>
  <si>
    <t>EOS</t>
  </si>
  <si>
    <t>One month September salary</t>
  </si>
  <si>
    <t>One month lieu of Notice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</si>
</sst>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\ &quot;Months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" fontId="2" fillId="0" borderId="3" xfId="0" applyNumberFormat="1" applyFon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15" fontId="2" fillId="3" borderId="3" xfId="0" quotePrefix="1" applyNumberFormat="1" applyFont="1" applyFill="1" applyBorder="1" applyAlignment="1">
      <alignment horizontal="center" vertical="center"/>
    </xf>
    <xf numFmtId="15" fontId="2" fillId="0" borderId="3" xfId="0" quotePrefix="1" applyNumberFormat="1" applyFont="1" applyBorder="1" applyAlignment="1">
      <alignment horizontal="center" vertical="center"/>
    </xf>
    <xf numFmtId="15" fontId="2" fillId="0" borderId="3" xfId="0" quotePrefix="1" applyNumberFormat="1" applyFont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/>
    </xf>
    <xf numFmtId="4" fontId="2" fillId="0" borderId="3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4" fontId="6" fillId="4" borderId="2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/>
    </xf>
    <xf numFmtId="9" fontId="5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  <xf numFmtId="15" fontId="2" fillId="3" borderId="0" xfId="0" quotePrefix="1" applyNumberFormat="1" applyFont="1" applyFill="1" applyAlignment="1">
      <alignment horizontal="center" vertical="center"/>
    </xf>
    <xf numFmtId="15" fontId="2" fillId="0" borderId="0" xfId="0" quotePrefix="1" applyNumberFormat="1" applyFont="1" applyAlignment="1">
      <alignment horizontal="center" vertical="center"/>
    </xf>
    <xf numFmtId="15" fontId="2" fillId="0" borderId="0" xfId="0" quotePrefix="1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5" fillId="0" borderId="7" xfId="0" applyFont="1" applyBorder="1"/>
    <xf numFmtId="15" fontId="2" fillId="0" borderId="7" xfId="0" quotePrefix="1" applyNumberFormat="1" applyFont="1" applyBorder="1" applyAlignment="1">
      <alignment horizontal="center" vertical="center"/>
    </xf>
    <xf numFmtId="15" fontId="2" fillId="3" borderId="7" xfId="0" quotePrefix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15" fontId="2" fillId="0" borderId="7" xfId="0" quotePrefix="1" applyNumberFormat="1" applyFont="1" applyBorder="1" applyAlignment="1">
      <alignment horizontal="center" vertical="center" wrapText="1"/>
    </xf>
    <xf numFmtId="4" fontId="2" fillId="0" borderId="6" xfId="0" applyNumberFormat="1" applyFont="1" applyBorder="1"/>
    <xf numFmtId="4" fontId="2" fillId="0" borderId="8" xfId="0" applyNumberFormat="1" applyFont="1" applyBorder="1"/>
    <xf numFmtId="0" fontId="5" fillId="0" borderId="8" xfId="0" applyFont="1" applyBorder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" fontId="2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</cellXfs>
  <cellStyles count="3">
    <cellStyle name="Comma 2" xfId="2" xr:uid="{2618CBD9-5BEB-450F-8D1D-419DB69F1322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99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abSelected="1" zoomScaleNormal="100" zoomScaleSheetLayoutView="100" workbookViewId="0">
      <selection activeCell="G6" sqref="G6"/>
    </sheetView>
  </sheetViews>
  <sheetFormatPr defaultRowHeight="14.25" x14ac:dyDescent="0.2"/>
  <cols>
    <col min="1" max="1" width="9.28515625" style="4" customWidth="1"/>
    <col min="2" max="2" width="28.5703125" style="4" customWidth="1"/>
    <col min="3" max="3" width="23.140625" style="4" bestFit="1" customWidth="1"/>
    <col min="4" max="4" width="17" style="4" bestFit="1" customWidth="1"/>
    <col min="5" max="5" width="24.42578125" style="4" customWidth="1"/>
    <col min="6" max="6" width="12.28515625" style="4" bestFit="1" customWidth="1"/>
    <col min="7" max="7" width="25.85546875" style="4" bestFit="1" customWidth="1"/>
    <col min="8" max="8" width="22.28515625" style="4" bestFit="1" customWidth="1"/>
    <col min="9" max="9" width="20.85546875" style="5" customWidth="1"/>
    <col min="10" max="10" width="9.140625" style="4" customWidth="1"/>
    <col min="11" max="16384" width="9.140625" style="4"/>
  </cols>
  <sheetData>
    <row r="1" spans="1:10" x14ac:dyDescent="0.2">
      <c r="A1" s="4" t="s">
        <v>11</v>
      </c>
    </row>
    <row r="3" spans="1:10" x14ac:dyDescent="0.2">
      <c r="A3" s="6" t="s">
        <v>12</v>
      </c>
      <c r="B3" s="6" t="s">
        <v>0</v>
      </c>
      <c r="C3" s="6" t="s">
        <v>5</v>
      </c>
      <c r="D3" s="7" t="s">
        <v>1</v>
      </c>
      <c r="E3" s="7" t="s">
        <v>4</v>
      </c>
      <c r="F3" s="6" t="s">
        <v>9</v>
      </c>
      <c r="G3" s="6" t="s">
        <v>2</v>
      </c>
      <c r="H3" s="6" t="s">
        <v>8</v>
      </c>
      <c r="I3" s="4"/>
      <c r="J3" s="4">
        <f>IF(DATEDIF(C4,D4+1,"Y")&gt;=20,400,IF(DATEDIF(C4,D4+1,"Y")&gt;=10,300,IF(DATEDIF(C4,D4+1,"Y")&gt;=6,240,IF(DATEDIF(C4,D4+1,"Y")&gt;=3,180,IF(DATEDIF(C4,D4+1,"Y")&gt;=1,90,IF(DATEDIF(C4,D4+1,"M")&gt;=4,30,0))))))</f>
        <v>90</v>
      </c>
    </row>
    <row r="4" spans="1:10" ht="28.5" customHeight="1" x14ac:dyDescent="0.2">
      <c r="A4" s="8" t="s">
        <v>13</v>
      </c>
      <c r="B4" s="9" t="s">
        <v>10</v>
      </c>
      <c r="C4" s="10">
        <v>45673</v>
      </c>
      <c r="D4" s="11">
        <v>46295</v>
      </c>
      <c r="E4" s="12" t="str">
        <f>DATEDIF(C4,D4+1, "Y")&amp;" Years "&amp;DATEDIF(C4,D4+1,"YM")&amp;" Months "&amp;DATEDIF(C4,D4+1,"MD")&amp;" Days"</f>
        <v>1 Years 8 Months 15 Days</v>
      </c>
      <c r="F4" s="34">
        <v>532572.92000000004</v>
      </c>
      <c r="G4" s="13">
        <f>J3/30</f>
        <v>3</v>
      </c>
      <c r="H4" s="14">
        <f>ROUND(F4*G4,2)</f>
        <v>1597718.76</v>
      </c>
      <c r="I4" s="4"/>
    </row>
    <row r="5" spans="1:10" x14ac:dyDescent="0.2">
      <c r="A5" s="23"/>
      <c r="B5" s="24"/>
      <c r="C5" s="26"/>
      <c r="D5" s="25"/>
      <c r="E5" s="28"/>
      <c r="F5" s="29"/>
      <c r="G5" s="27" t="s">
        <v>14</v>
      </c>
      <c r="H5" s="3">
        <v>532572.92000000004</v>
      </c>
      <c r="I5" s="4"/>
    </row>
    <row r="6" spans="1:10" ht="25.5" customHeight="1" x14ac:dyDescent="0.2">
      <c r="A6" s="19"/>
      <c r="C6" s="20"/>
      <c r="D6" s="21"/>
      <c r="E6" s="22"/>
      <c r="F6" s="30"/>
      <c r="G6" s="27" t="s">
        <v>15</v>
      </c>
      <c r="H6" s="3">
        <v>532572.92000000004</v>
      </c>
      <c r="I6" s="4"/>
    </row>
    <row r="7" spans="1:10" ht="16.5" customHeight="1" x14ac:dyDescent="0.2">
      <c r="F7" s="31"/>
      <c r="G7" s="27" t="s">
        <v>6</v>
      </c>
      <c r="H7" s="3">
        <v>15977.19</v>
      </c>
    </row>
    <row r="8" spans="1:10" x14ac:dyDescent="0.2">
      <c r="F8" s="30"/>
      <c r="G8" s="27" t="s">
        <v>7</v>
      </c>
      <c r="H8" s="3">
        <v>47931.57</v>
      </c>
    </row>
    <row r="9" spans="1:10" ht="15" customHeight="1" thickBot="1" x14ac:dyDescent="0.25">
      <c r="G9" s="15" t="s">
        <v>3</v>
      </c>
      <c r="H9" s="16">
        <f>SUM(H4:H8)</f>
        <v>2726773.36</v>
      </c>
    </row>
    <row r="10" spans="1:10" x14ac:dyDescent="0.2">
      <c r="B10" s="17"/>
      <c r="C10" s="5"/>
    </row>
    <row r="11" spans="1:10" x14ac:dyDescent="0.2">
      <c r="B11" s="17"/>
    </row>
    <row r="12" spans="1:10" x14ac:dyDescent="0.2">
      <c r="B12" s="17"/>
    </row>
    <row r="13" spans="1:10" x14ac:dyDescent="0.2">
      <c r="B13" s="17"/>
    </row>
    <row r="14" spans="1:10" x14ac:dyDescent="0.2">
      <c r="C14" s="5"/>
      <c r="G14" s="35"/>
      <c r="H14" s="35"/>
      <c r="I14" s="4"/>
    </row>
    <row r="15" spans="1:10" x14ac:dyDescent="0.2">
      <c r="B15" s="1"/>
      <c r="C15" s="5"/>
      <c r="G15" s="35"/>
      <c r="H15" s="35"/>
      <c r="I15" s="4"/>
    </row>
    <row r="16" spans="1:10" x14ac:dyDescent="0.2">
      <c r="B16" s="32"/>
      <c r="C16" s="5"/>
      <c r="G16" s="35"/>
      <c r="H16" s="35"/>
      <c r="I16" s="4"/>
    </row>
    <row r="17" spans="2:9" x14ac:dyDescent="0.2">
      <c r="B17" s="32"/>
      <c r="C17" s="5"/>
      <c r="G17" s="35"/>
      <c r="H17" s="35"/>
      <c r="I17" s="4"/>
    </row>
    <row r="18" spans="2:9" x14ac:dyDescent="0.2">
      <c r="B18" s="32"/>
      <c r="C18" s="5"/>
      <c r="G18" s="17"/>
      <c r="H18" s="17"/>
      <c r="I18" s="4"/>
    </row>
    <row r="19" spans="2:9" x14ac:dyDescent="0.2">
      <c r="B19" s="32"/>
      <c r="C19" s="5"/>
      <c r="G19" s="17"/>
      <c r="H19" s="17"/>
      <c r="I19" s="4"/>
    </row>
    <row r="20" spans="2:9" x14ac:dyDescent="0.2">
      <c r="B20" s="32"/>
    </row>
    <row r="21" spans="2:9" x14ac:dyDescent="0.2">
      <c r="B21" s="33"/>
      <c r="G21" s="17"/>
      <c r="H21" s="17"/>
    </row>
    <row r="22" spans="2:9" x14ac:dyDescent="0.2">
      <c r="B22" s="2"/>
      <c r="G22" s="17"/>
      <c r="H22" s="17"/>
    </row>
    <row r="23" spans="2:9" x14ac:dyDescent="0.2">
      <c r="G23" s="17"/>
      <c r="H23" s="17"/>
    </row>
    <row r="24" spans="2:9" x14ac:dyDescent="0.2">
      <c r="G24" s="17"/>
      <c r="H24" s="17"/>
    </row>
    <row r="25" spans="2:9" x14ac:dyDescent="0.2">
      <c r="C25" s="5"/>
      <c r="G25" s="35"/>
      <c r="H25" s="35"/>
    </row>
    <row r="26" spans="2:9" x14ac:dyDescent="0.2">
      <c r="C26" s="5"/>
      <c r="G26" s="35"/>
      <c r="H26" s="35"/>
    </row>
    <row r="27" spans="2:9" x14ac:dyDescent="0.2">
      <c r="C27" s="5"/>
      <c r="G27" s="35"/>
      <c r="H27" s="35"/>
    </row>
    <row r="30" spans="2:9" x14ac:dyDescent="0.2">
      <c r="I30" s="18"/>
    </row>
  </sheetData>
  <mergeCells count="7">
    <mergeCell ref="G26:H26"/>
    <mergeCell ref="G27:H27"/>
    <mergeCell ref="G14:H14"/>
    <mergeCell ref="G15:H15"/>
    <mergeCell ref="G16:H16"/>
    <mergeCell ref="G17:H17"/>
    <mergeCell ref="G25:H25"/>
  </mergeCells>
  <pageMargins left="0.70866141732283472" right="0.70866141732283472" top="0.74803149606299213" bottom="0.74803149606299213" header="0.31496062992125984" footer="0.31496062992125984"/>
  <pageSetup paperSize="9" scale="6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7B42-8BC1-4C50-8579-BE2E7047EB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Emily Millama</cp:lastModifiedBy>
  <cp:lastPrinted>2025-11-21T08:59:39Z</cp:lastPrinted>
  <dcterms:created xsi:type="dcterms:W3CDTF">2022-08-24T03:28:06Z</dcterms:created>
  <dcterms:modified xsi:type="dcterms:W3CDTF">2026-09-10T09:41:10Z</dcterms:modified>
</cp:coreProperties>
</file>